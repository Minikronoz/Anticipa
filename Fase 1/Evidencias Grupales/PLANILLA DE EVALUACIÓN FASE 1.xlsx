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M@bel\DUOC\Sem I 2026\CAPSTONE\Fase 1 Alumn\"/>
    </mc:Choice>
  </mc:AlternateContent>
  <xr:revisionPtr revIDLastSave="0" documentId="13_ncr:1_{A145BD68-996D-4429-BE30-71650D2E91BD}" xr6:coauthVersionLast="47" xr6:coauthVersionMax="47" xr10:uidLastSave="{00000000-0000-0000-0000-000000000000}"/>
  <bookViews>
    <workbookView xWindow="-108" yWindow="-108" windowWidth="23256" windowHeight="1389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G21" i="1"/>
  <c r="C57" i="1" l="1"/>
  <c r="C46" i="1"/>
  <c r="E21" i="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<sst xmlns="http://schemas.openxmlformats.org/spreadsheetml/2006/main" count="158" uniqueCount="99">
  <si>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</si>
  <si>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</si>
  <si>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</si>
  <si>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</si>
  <si>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</si>
  <si>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</si>
  <si>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</si>
  <si>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</si>
  <si>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</si>
  <si>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</si>
  <si>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</si>
  <si>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</si>
  <si>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</si>
  <si>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</si>
  <si>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</si>
  <si>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</si>
  <si>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</si>
  <si>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</si>
  <si>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</si>
  <si>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</si>
  <si>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</si>
  <si>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</si>
  <si>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</si>
  <si>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</si>
  <si>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</si>
  <si>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</si>
  <si>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</si>
  <si>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</si>
  <si>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</si>
  <si>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</si>
  <si>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</si>
  <si>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</si>
  <si>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</si>
  <si>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</si>
  <si>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</si>
  <si>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</si>
  <si>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</si>
  <si>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</si>
  <si>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</si>
  <si>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</si>
  <si>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</si>
  <si>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</si>
  <si>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</si>
  <si>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</si>
  <si>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</si>
  <si>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</si>
  <si>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</si>
  <si>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</si>
  <si>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</si>
  <si>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</si>
  <si>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</si>
  <si>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</si>
  <si>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</si>
  <si>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</si>
  <si>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</si>
  <si>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</si>
  <si>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</si>
  <si>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</si>
  <si>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</si>
  <si>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</si>
  <si>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</si>
  <si>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</si>
  <si>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</si>
  <si>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</si>
  <si>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</si>
  <si>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</si>
  <si>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</si>
  <si>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</si>
  <si>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</si>
  <si>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</si>
  <si>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</si>
  <si>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</si>
  <si>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</si>
  <si>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</si>
  <si>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</si>
  <si>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</si>
  <si>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</si>
  <si>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</si>
  <si>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</si>
  <si>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</si>
  <si>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</si>
  <si>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</si>
  <si>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</si>
  <si>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</si>
  <si>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</si>
  <si>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</si>
  <si>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</si>
  <si>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</si>
  <si>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</si>
  <si>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</si>
  <si>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</si>
  <si>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</si>
  <si>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</si>
  <si>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</si>
  <si>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</si>
  <si>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CATALAN DONOSO CARLOS ANDRES</t>
  </si>
  <si>
    <t>JARA MILLAN AGUSTIN FELIPE</t>
  </si>
  <si>
    <t>SOLAR ABURTO SEBASTIAN ALEJANDRO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</si>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</sst>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11"/>
      <color rgb="FF000000"/>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6"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0" borderId="32" xfId="0" applyBorder="1"/>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00000000-0005-0000-0000-00000100000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8" zoomScale="120" zoomScaleNormal="120" workbookViewId="0">
      <selection activeCell="I18" sqref="I1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52" t="s">
        <v>95</v>
      </c>
      <c r="C4" s="6">
        <f>EVALUACION1!$C$24</f>
        <v>6.1</v>
      </c>
      <c r="D4" s="6">
        <f>$C$35</f>
        <v>6</v>
      </c>
      <c r="E4" s="50">
        <f>C4*C$2+D4*D$2</f>
        <v>6.0749999999999993</v>
      </c>
      <c r="G4" s="1"/>
    </row>
    <row r="5" spans="1:11" ht="14.4" x14ac:dyDescent="0.3">
      <c r="A5" s="5">
        <v>2</v>
      </c>
      <c r="B5" s="52" t="s">
        <v>96</v>
      </c>
      <c r="C5" s="6">
        <f>EVALUACION1!$C$24</f>
        <v>6.1</v>
      </c>
      <c r="D5" s="6">
        <f>C47</f>
        <v>6</v>
      </c>
      <c r="E5" s="50">
        <f t="shared" ref="E5:E6" si="0">C5*C$2+D5*D$2</f>
        <v>6.0749999999999993</v>
      </c>
      <c r="G5" s="1"/>
    </row>
    <row r="6" spans="1:11" ht="14.4" x14ac:dyDescent="0.3">
      <c r="A6" s="5">
        <v>3</v>
      </c>
      <c r="B6" s="52" t="s">
        <v>97</v>
      </c>
      <c r="C6" s="6">
        <f>EVALUACION1!$C$24</f>
        <v>6.1</v>
      </c>
      <c r="D6" s="6">
        <f>C58</f>
        <v>6</v>
      </c>
      <c r="E6" s="50">
        <f t="shared" si="0"/>
        <v>6.0749999999999993</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0" t="str">
        <f>RUBRICA!A8</f>
        <v xml:space="preserve">4.  Argumenta por qué el proyecto es factible de realizarse en el marco de la asignatura. </v>
      </c>
      <c r="C15" s="38" t="s">
        <v>8</v>
      </c>
      <c r="D15" s="17" t="str">
        <f t="shared" si="1"/>
        <v/>
      </c>
      <c r="E15" s="17" t="str">
        <f t="shared" ref="E15:E21" si="9">IF(D15="X",100*0.05,"")</f>
        <v/>
      </c>
      <c r="F15" s="17" t="str">
        <f t="shared" si="2"/>
        <v>X</v>
      </c>
      <c r="G15" s="17">
        <f t="shared" ref="G15:G21" si="10">IF(F15="X",60*0.05,"")</f>
        <v>3</v>
      </c>
      <c r="H15" s="17" t="str">
        <f t="shared" si="3"/>
        <v/>
      </c>
      <c r="I15" s="17" t="str">
        <f t="shared" ref="I15:I21" si="11">IF(H15="X",30*0.05,"")</f>
        <v/>
      </c>
      <c r="J15" s="17" t="str">
        <f t="shared" si="4"/>
        <v/>
      </c>
      <c r="K15" s="17" t="str">
        <f t="shared" si="5"/>
        <v/>
      </c>
    </row>
    <row r="16" spans="1:11" ht="14.4" outlineLevel="1" x14ac:dyDescent="0.3">
      <c r="A16" s="70"/>
      <c r="B16" s="40" t="str">
        <f>RUBRICA!A9</f>
        <v xml:space="preserve">5. Formula objetivos claros, concisos y coherentes con la disciplina y la situación a abordar. </v>
      </c>
      <c r="C16" s="38"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0" t="str">
        <f>RUBRICA!A13</f>
        <v xml:space="preserve">9. Utiliza reglas de redacción, ortografía (literal, puntual, acentual) y las normas para citas y referencias. </v>
      </c>
      <c r="C20" s="38" t="s">
        <v>8</v>
      </c>
      <c r="D20" s="17" t="str">
        <f t="shared" si="12"/>
        <v/>
      </c>
      <c r="E20" s="17" t="str">
        <f>IF(D20="X",100*0.05,"")</f>
        <v/>
      </c>
      <c r="F20" s="17" t="str">
        <f t="shared" si="14"/>
        <v>X</v>
      </c>
      <c r="G20" s="17">
        <f t="shared" si="10"/>
        <v>3</v>
      </c>
      <c r="H20" s="17" t="str">
        <f t="shared" si="16"/>
        <v/>
      </c>
      <c r="I20" s="17" t="str">
        <f t="shared" si="11"/>
        <v/>
      </c>
      <c r="J20" s="17" t="str">
        <f t="shared" si="18"/>
        <v/>
      </c>
      <c r="K20" s="17" t="str">
        <f t="shared" si="19"/>
        <v/>
      </c>
    </row>
    <row r="21" spans="1:11" ht="22.95" customHeight="1" outlineLevel="1" x14ac:dyDescent="0.3">
      <c r="A21" s="70"/>
      <c r="B21" s="40" t="str">
        <f>RUBRICA!A14</f>
        <v>10. Cumple completando el contenido del informe de presentación del proyecto de acuerdo con la plantilla entregada.</v>
      </c>
      <c r="C21" s="38" t="s">
        <v>8</v>
      </c>
      <c r="D21" s="17" t="s">
        <v>98</v>
      </c>
      <c r="E21" s="17">
        <f t="shared" si="9"/>
        <v>5</v>
      </c>
      <c r="F21" s="17"/>
      <c r="G21" s="17" t="str">
        <f t="shared" si="10"/>
        <v/>
      </c>
      <c r="H21" s="17" t="str">
        <f t="shared" si="16"/>
        <v/>
      </c>
      <c r="I21" s="17" t="str">
        <f t="shared" si="11"/>
        <v/>
      </c>
      <c r="J21" s="17" t="str">
        <f t="shared" si="18"/>
        <v/>
      </c>
      <c r="K21" s="17" t="str">
        <f t="shared" si="19"/>
        <v/>
      </c>
    </row>
    <row r="22" spans="1:11" ht="36" outlineLevel="1" x14ac:dyDescent="0.3">
      <c r="A22" s="70"/>
      <c r="B22" s="40" t="str">
        <f>RUBRICA!A16</f>
        <v>12. Desarrolla un plan de trabajo que permita del logro de los objetivos propuestos del proyecto de 
acuerdo a los tiempos para su desarrollo</v>
      </c>
      <c r="C22" s="38" t="s">
        <v>8</v>
      </c>
      <c r="D22" s="17" t="str">
        <f t="shared" si="12"/>
        <v/>
      </c>
      <c r="E22" s="17" t="str">
        <f>IF(D22="X",100*0.1,"")</f>
        <v/>
      </c>
      <c r="F22" s="17" t="str">
        <f t="shared" si="14"/>
        <v>X</v>
      </c>
      <c r="G22" s="17">
        <f>IF(F22="X",60*0.1,"")</f>
        <v>6</v>
      </c>
      <c r="H22" s="17" t="str">
        <f t="shared" si="16"/>
        <v/>
      </c>
      <c r="I22" s="17" t="str">
        <f>IF(H22="X",30*0.1,"")</f>
        <v/>
      </c>
      <c r="J22" s="17" t="str">
        <f t="shared" si="18"/>
        <v/>
      </c>
      <c r="K22" s="17" t="str">
        <f t="shared" si="19"/>
        <v/>
      </c>
    </row>
    <row r="23" spans="1:11" ht="15.75" customHeight="1" outlineLevel="1" x14ac:dyDescent="0.35">
      <c r="A23" s="66"/>
      <c r="B23" s="39" t="s">
        <v>6</v>
      </c>
      <c r="C23" s="43">
        <f>E23+G23+I23+K23</f>
        <v>62</v>
      </c>
      <c r="D23" s="20"/>
      <c r="E23" s="20">
        <f>SUM(E13:E22)</f>
        <v>50</v>
      </c>
      <c r="F23" s="20"/>
      <c r="G23" s="20">
        <f>SUM(G13:G22)</f>
        <v>12</v>
      </c>
      <c r="H23" s="20"/>
      <c r="I23" s="20">
        <f>SUM(I13:I22)</f>
        <v>0</v>
      </c>
      <c r="J23" s="20"/>
      <c r="K23" s="20">
        <f>SUM(K13:K22)</f>
        <v>0</v>
      </c>
    </row>
    <row r="24" spans="1:11" ht="15.75" customHeight="1" outlineLevel="1" x14ac:dyDescent="0.35">
      <c r="A24" s="54"/>
      <c r="B24" s="42" t="s">
        <v>16</v>
      </c>
      <c r="C24" s="21">
        <f>VLOOKUP(C23,ESCALA_IEP!A2:B142,2,FALSE)</f>
        <v>6.1</v>
      </c>
    </row>
    <row r="25" spans="1:11" ht="15.75" customHeight="1" x14ac:dyDescent="0.3"/>
    <row r="26" spans="1:11" ht="15.75" customHeight="1" x14ac:dyDescent="0.3"/>
    <row r="27" spans="1:11" ht="15.75" customHeight="1" x14ac:dyDescent="0.3">
      <c r="A27" s="65" t="s">
        <v>18</v>
      </c>
      <c r="B27" s="53" t="s">
        <v>19</v>
      </c>
      <c r="C27" s="55" t="str">
        <f>$B$4</f>
        <v>CATALAN DONOSO CARLOS ANDRES</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5" customHeight="1" x14ac:dyDescent="0.3">
      <c r="A32" s="66"/>
      <c r="B32" s="40" t="str">
        <f>RUBRICA!A15</f>
        <v>11. Expone el tema utilizando un lenguaje técnico disciplinar al presentar la propuesta y responde evidenciando un manejo de la información. *</v>
      </c>
      <c r="C32" s="38" t="s">
        <v>8</v>
      </c>
      <c r="D32" s="17" t="str">
        <f t="shared" si="25"/>
        <v/>
      </c>
      <c r="E32" s="17" t="str">
        <f>IF(D32="X",100*0.1,"")</f>
        <v/>
      </c>
      <c r="F32" s="17" t="str">
        <f t="shared" si="26"/>
        <v>X</v>
      </c>
      <c r="G32" s="17">
        <f>IF(F32="X",60*0.1,"")</f>
        <v>6</v>
      </c>
      <c r="H32" s="17" t="str">
        <f t="shared" si="27"/>
        <v/>
      </c>
      <c r="I32" s="17" t="str">
        <f>IF(H32="X",30*0.1,"")</f>
        <v/>
      </c>
      <c r="J32" s="17" t="str">
        <f t="shared" si="28"/>
        <v/>
      </c>
      <c r="K32" s="17" t="str">
        <f t="shared" si="29"/>
        <v/>
      </c>
    </row>
    <row r="33" spans="1:11" ht="14.4" x14ac:dyDescent="0.3">
      <c r="A33" s="66"/>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35">
      <c r="A35" s="54"/>
      <c r="B35" s="18" t="s">
        <v>16</v>
      </c>
      <c r="C35" s="21">
        <f>VLOOKUP(C34,ESCALA_TRAB_EQUIP!A2:B62,2,FALSE)</f>
        <v>6</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JARA MILLAN AGUSTIN FELIPE</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95" customHeight="1" x14ac:dyDescent="0.3">
      <c r="A43" s="66"/>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0" t="str">
        <f>RUBRICA!A15</f>
        <v>11. Expone el tema utilizando un lenguaje técnico disciplinar al presentar la propuesta y responde evidenciando un manejo de la información. *</v>
      </c>
      <c r="C44" s="38" t="s">
        <v>8</v>
      </c>
      <c r="D44" s="17" t="str">
        <f t="shared" si="31"/>
        <v/>
      </c>
      <c r="E44" s="17" t="str">
        <f>IF(D44="X",100*0.1,"")</f>
        <v/>
      </c>
      <c r="F44" s="17" t="str">
        <f t="shared" si="32"/>
        <v>X</v>
      </c>
      <c r="G44" s="17">
        <f>IF(F44="X",60*0.1,"")</f>
        <v>6</v>
      </c>
      <c r="H44" s="17" t="str">
        <f t="shared" si="33"/>
        <v/>
      </c>
      <c r="I44" s="17" t="str">
        <f>IF(H44="X",30*0.1,"")</f>
        <v/>
      </c>
      <c r="J44" s="17" t="str">
        <f t="shared" si="34"/>
        <v/>
      </c>
      <c r="K44" s="17" t="str">
        <f t="shared" si="35"/>
        <v/>
      </c>
    </row>
    <row r="45" spans="1:11" ht="15.75" customHeight="1" x14ac:dyDescent="0.3">
      <c r="A45" s="66"/>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5">
      <c r="A47" s="54"/>
      <c r="B47" s="18" t="s">
        <v>16</v>
      </c>
      <c r="C47" s="21">
        <f>VLOOKUP(C46,ESCALA_TRAB_EQUIP!A2:B62,2,FALSE)</f>
        <v>6</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SOLAR ABURTO SEBASTIAN ALEJANDRO</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95" customHeight="1" x14ac:dyDescent="0.3">
      <c r="A54" s="66"/>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0" t="str">
        <f>RUBRICA!A15</f>
        <v>11. Expone el tema utilizando un lenguaje técnico disciplinar al presentar la propuesta y responde evidenciando un manejo de la información. *</v>
      </c>
      <c r="C55" s="38" t="s">
        <v>8</v>
      </c>
      <c r="D55" s="17" t="str">
        <f t="shared" si="39"/>
        <v/>
      </c>
      <c r="E55" s="17" t="str">
        <f>IF(D55="X",100*0.1,"")</f>
        <v/>
      </c>
      <c r="F55" s="17" t="str">
        <f t="shared" si="40"/>
        <v>X</v>
      </c>
      <c r="G55" s="17">
        <f>IF(F55="X",60*0.1,"")</f>
        <v>6</v>
      </c>
      <c r="H55" s="17" t="str">
        <f t="shared" si="41"/>
        <v/>
      </c>
      <c r="I55" s="17" t="str">
        <f>IF(H55="X",30*0.1,"")</f>
        <v/>
      </c>
      <c r="J55" s="17" t="str">
        <f t="shared" si="42"/>
        <v/>
      </c>
      <c r="K55" s="17" t="str">
        <f t="shared" si="43"/>
        <v/>
      </c>
    </row>
    <row r="56" spans="1:11" ht="15.75" customHeight="1" x14ac:dyDescent="0.3">
      <c r="A56" s="66"/>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26</v>
      </c>
      <c r="D57" s="20">
        <f>COUNTIF(D55:D56,"X")</f>
        <v>1</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6</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C31:C33 C43:C45 C13:C22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80" zoomScaleNormal="80" workbookViewId="0">
      <selection activeCell="F19" sqref="F19"/>
    </sheetView>
  </sheetViews>
  <sheetFormatPr baseColWidth="10"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95"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6" t="s">
        <v>58</v>
      </c>
      <c r="B12" s="32" t="s">
        <v>59</v>
      </c>
      <c r="C12" s="32" t="s">
        <v>60</v>
      </c>
      <c r="D12" s="32" t="s">
        <v>61</v>
      </c>
      <c r="E12" s="32" t="s">
        <v>62</v>
      </c>
      <c r="F12" s="47">
        <v>5</v>
      </c>
    </row>
    <row r="13" spans="1:6" ht="94.2" customHeight="1" x14ac:dyDescent="0.3">
      <c r="A13" s="37" t="s">
        <v>63</v>
      </c>
      <c r="B13" s="37" t="s">
        <v>76</v>
      </c>
      <c r="C13" s="37" t="s">
        <v>64</v>
      </c>
      <c r="D13" s="37" t="s">
        <v>65</v>
      </c>
      <c r="E13" s="37" t="s">
        <v>66</v>
      </c>
      <c r="F13" s="48">
        <v>5</v>
      </c>
    </row>
    <row r="14" spans="1:6" ht="69" x14ac:dyDescent="0.3">
      <c r="A14" s="49" t="s">
        <v>85</v>
      </c>
      <c r="B14" s="49" t="s">
        <v>86</v>
      </c>
      <c r="C14" s="49" t="s">
        <v>87</v>
      </c>
      <c r="D14" s="49" t="s">
        <v>88</v>
      </c>
      <c r="E14" s="49" t="s">
        <v>89</v>
      </c>
      <c r="F14" s="48">
        <v>5</v>
      </c>
    </row>
    <row r="15" spans="1:6" ht="69.599999999999994" thickBot="1" x14ac:dyDescent="0.35">
      <c r="A15" s="29" t="s">
        <v>84</v>
      </c>
      <c r="B15" s="45" t="s">
        <v>79</v>
      </c>
      <c r="C15" s="30" t="s">
        <v>80</v>
      </c>
      <c r="D15" s="30" t="s">
        <v>81</v>
      </c>
      <c r="E15" s="30" t="s">
        <v>82</v>
      </c>
      <c r="F15" s="31">
        <v>10</v>
      </c>
    </row>
    <row r="16" spans="1:6" ht="83.4" thickBot="1" x14ac:dyDescent="0.35">
      <c r="A16" s="44" t="s">
        <v>90</v>
      </c>
      <c r="B16" s="45" t="s">
        <v>91</v>
      </c>
      <c r="C16" s="45" t="s">
        <v>92</v>
      </c>
      <c r="D16" s="45" t="s">
        <v>93</v>
      </c>
      <c r="E16" s="45"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1">
        <v>1</v>
      </c>
    </row>
    <row r="3" spans="1:2" ht="14.4" x14ac:dyDescent="0.3">
      <c r="A3">
        <v>0.5</v>
      </c>
      <c r="B3" s="51">
        <v>1</v>
      </c>
    </row>
    <row r="4" spans="1:2" ht="14.4" x14ac:dyDescent="0.3">
      <c r="A4">
        <v>1</v>
      </c>
      <c r="B4" s="51">
        <v>1.1000000000000001</v>
      </c>
    </row>
    <row r="5" spans="1:2" ht="14.4" x14ac:dyDescent="0.3">
      <c r="A5">
        <v>1.5</v>
      </c>
      <c r="B5" s="51">
        <v>1.1000000000000001</v>
      </c>
    </row>
    <row r="6" spans="1:2" ht="14.4" x14ac:dyDescent="0.3">
      <c r="A6">
        <v>2</v>
      </c>
      <c r="B6" s="51">
        <v>1.1000000000000001</v>
      </c>
    </row>
    <row r="7" spans="1:2" ht="14.4" x14ac:dyDescent="0.3">
      <c r="A7">
        <v>2.5</v>
      </c>
      <c r="B7" s="51">
        <v>1.2</v>
      </c>
    </row>
    <row r="8" spans="1:2" ht="14.4" x14ac:dyDescent="0.3">
      <c r="A8">
        <v>3</v>
      </c>
      <c r="B8" s="51">
        <v>1.2</v>
      </c>
    </row>
    <row r="9" spans="1:2" ht="14.4" x14ac:dyDescent="0.3">
      <c r="A9">
        <v>3.5</v>
      </c>
      <c r="B9" s="51">
        <v>1.3</v>
      </c>
    </row>
    <row r="10" spans="1:2" ht="14.4" x14ac:dyDescent="0.3">
      <c r="A10">
        <v>4</v>
      </c>
      <c r="B10" s="51">
        <v>1.3</v>
      </c>
    </row>
    <row r="11" spans="1:2" ht="14.4" x14ac:dyDescent="0.3">
      <c r="A11">
        <v>4.5</v>
      </c>
      <c r="B11" s="51">
        <v>1.3</v>
      </c>
    </row>
    <row r="12" spans="1:2" ht="14.4" x14ac:dyDescent="0.3">
      <c r="A12">
        <v>5</v>
      </c>
      <c r="B12" s="51">
        <v>1.4</v>
      </c>
    </row>
    <row r="13" spans="1:2" ht="14.4" x14ac:dyDescent="0.3">
      <c r="A13">
        <v>5.5</v>
      </c>
      <c r="B13" s="51">
        <v>1.4</v>
      </c>
    </row>
    <row r="14" spans="1:2" ht="14.4" x14ac:dyDescent="0.3">
      <c r="A14">
        <v>6</v>
      </c>
      <c r="B14" s="51">
        <v>1.4</v>
      </c>
    </row>
    <row r="15" spans="1:2" ht="14.4" x14ac:dyDescent="0.3">
      <c r="A15">
        <v>6.5</v>
      </c>
      <c r="B15" s="51">
        <v>1.5</v>
      </c>
    </row>
    <row r="16" spans="1:2" ht="14.4" x14ac:dyDescent="0.3">
      <c r="A16">
        <v>7</v>
      </c>
      <c r="B16" s="51">
        <v>1.5</v>
      </c>
    </row>
    <row r="17" spans="1:2" ht="14.4" x14ac:dyDescent="0.3">
      <c r="A17">
        <v>7.5</v>
      </c>
      <c r="B17" s="51">
        <v>1.5</v>
      </c>
    </row>
    <row r="18" spans="1:2" ht="14.4" x14ac:dyDescent="0.3">
      <c r="A18">
        <v>8</v>
      </c>
      <c r="B18" s="51">
        <v>1.6</v>
      </c>
    </row>
    <row r="19" spans="1:2" ht="14.4" x14ac:dyDescent="0.3">
      <c r="A19">
        <v>8.5</v>
      </c>
      <c r="B19" s="51">
        <v>1.6</v>
      </c>
    </row>
    <row r="20" spans="1:2" ht="14.4" x14ac:dyDescent="0.3">
      <c r="A20">
        <v>9</v>
      </c>
      <c r="B20" s="51">
        <v>1.6</v>
      </c>
    </row>
    <row r="21" spans="1:2" ht="15.75" customHeight="1" x14ac:dyDescent="0.3">
      <c r="A21">
        <v>9.5</v>
      </c>
      <c r="B21" s="51">
        <v>1.7</v>
      </c>
    </row>
    <row r="22" spans="1:2" ht="15.75" customHeight="1" x14ac:dyDescent="0.3">
      <c r="A22">
        <v>10</v>
      </c>
      <c r="B22" s="51">
        <v>1.7</v>
      </c>
    </row>
    <row r="23" spans="1:2" ht="15.75" customHeight="1" x14ac:dyDescent="0.3">
      <c r="A23">
        <v>10.5</v>
      </c>
      <c r="B23" s="51">
        <v>1.8</v>
      </c>
    </row>
    <row r="24" spans="1:2" ht="15.75" customHeight="1" x14ac:dyDescent="0.3">
      <c r="A24">
        <v>11</v>
      </c>
      <c r="B24" s="51">
        <v>1.8</v>
      </c>
    </row>
    <row r="25" spans="1:2" ht="15.75" customHeight="1" x14ac:dyDescent="0.3">
      <c r="A25">
        <v>11.5</v>
      </c>
      <c r="B25" s="51">
        <v>1.8</v>
      </c>
    </row>
    <row r="26" spans="1:2" ht="15.75" customHeight="1" x14ac:dyDescent="0.3">
      <c r="A26">
        <v>12</v>
      </c>
      <c r="B26" s="51">
        <v>1.9</v>
      </c>
    </row>
    <row r="27" spans="1:2" ht="15.75" customHeight="1" x14ac:dyDescent="0.3">
      <c r="A27">
        <v>12.5</v>
      </c>
      <c r="B27" s="51">
        <v>1.9</v>
      </c>
    </row>
    <row r="28" spans="1:2" ht="15.75" customHeight="1" x14ac:dyDescent="0.3">
      <c r="A28">
        <v>13</v>
      </c>
      <c r="B28" s="51">
        <v>1.9</v>
      </c>
    </row>
    <row r="29" spans="1:2" ht="15.75" customHeight="1" x14ac:dyDescent="0.3">
      <c r="A29">
        <v>13.5</v>
      </c>
      <c r="B29" s="51">
        <v>2</v>
      </c>
    </row>
    <row r="30" spans="1:2" ht="15.75" customHeight="1" x14ac:dyDescent="0.3">
      <c r="A30">
        <v>14</v>
      </c>
      <c r="B30" s="51">
        <v>2</v>
      </c>
    </row>
    <row r="31" spans="1:2" ht="15.75" customHeight="1" x14ac:dyDescent="0.3">
      <c r="A31">
        <v>14.5</v>
      </c>
      <c r="B31" s="51">
        <v>2</v>
      </c>
    </row>
    <row r="32" spans="1:2" ht="15.75" customHeight="1" x14ac:dyDescent="0.3">
      <c r="A32">
        <v>15</v>
      </c>
      <c r="B32" s="51">
        <v>2.1</v>
      </c>
    </row>
    <row r="33" spans="1:2" ht="15.75" customHeight="1" x14ac:dyDescent="0.3">
      <c r="A33">
        <v>15.5</v>
      </c>
      <c r="B33" s="51">
        <v>2.1</v>
      </c>
    </row>
    <row r="34" spans="1:2" ht="15.75" customHeight="1" x14ac:dyDescent="0.3">
      <c r="A34">
        <v>16</v>
      </c>
      <c r="B34" s="51">
        <v>2.1</v>
      </c>
    </row>
    <row r="35" spans="1:2" ht="15.75" customHeight="1" x14ac:dyDescent="0.3">
      <c r="A35">
        <v>16.5</v>
      </c>
      <c r="B35" s="51">
        <v>2.2000000000000002</v>
      </c>
    </row>
    <row r="36" spans="1:2" ht="15.75" customHeight="1" x14ac:dyDescent="0.3">
      <c r="A36">
        <v>17</v>
      </c>
      <c r="B36" s="51">
        <v>2.2000000000000002</v>
      </c>
    </row>
    <row r="37" spans="1:2" ht="15.75" customHeight="1" x14ac:dyDescent="0.3">
      <c r="A37">
        <v>17.5</v>
      </c>
      <c r="B37" s="51">
        <v>2.2999999999999998</v>
      </c>
    </row>
    <row r="38" spans="1:2" ht="15.75" customHeight="1" x14ac:dyDescent="0.3">
      <c r="A38">
        <v>18</v>
      </c>
      <c r="B38" s="51">
        <v>2.2999999999999998</v>
      </c>
    </row>
    <row r="39" spans="1:2" ht="15.75" customHeight="1" x14ac:dyDescent="0.3">
      <c r="A39">
        <v>18.5</v>
      </c>
      <c r="B39" s="51">
        <v>2.2999999999999998</v>
      </c>
    </row>
    <row r="40" spans="1:2" ht="15.75" customHeight="1" x14ac:dyDescent="0.3">
      <c r="A40">
        <v>19</v>
      </c>
      <c r="B40" s="51">
        <v>2.4</v>
      </c>
    </row>
    <row r="41" spans="1:2" ht="15.75" customHeight="1" x14ac:dyDescent="0.3">
      <c r="A41">
        <v>19.5</v>
      </c>
      <c r="B41" s="51">
        <v>2.4</v>
      </c>
    </row>
    <row r="42" spans="1:2" ht="15.75" customHeight="1" x14ac:dyDescent="0.3">
      <c r="A42">
        <v>20</v>
      </c>
      <c r="B42" s="51">
        <v>2.4</v>
      </c>
    </row>
    <row r="43" spans="1:2" ht="15.75" customHeight="1" x14ac:dyDescent="0.3">
      <c r="A43">
        <v>20.5</v>
      </c>
      <c r="B43" s="51">
        <v>2.5</v>
      </c>
    </row>
    <row r="44" spans="1:2" ht="15.75" customHeight="1" x14ac:dyDescent="0.3">
      <c r="A44">
        <v>21</v>
      </c>
      <c r="B44" s="51">
        <v>2.5</v>
      </c>
    </row>
    <row r="45" spans="1:2" ht="15.75" customHeight="1" x14ac:dyDescent="0.3">
      <c r="A45">
        <v>21.5</v>
      </c>
      <c r="B45" s="51">
        <v>2.5</v>
      </c>
    </row>
    <row r="46" spans="1:2" ht="15.75" customHeight="1" x14ac:dyDescent="0.3">
      <c r="A46">
        <v>22</v>
      </c>
      <c r="B46" s="51">
        <v>2.6</v>
      </c>
    </row>
    <row r="47" spans="1:2" ht="15.75" customHeight="1" x14ac:dyDescent="0.3">
      <c r="A47">
        <v>22.5</v>
      </c>
      <c r="B47" s="51">
        <v>2.6</v>
      </c>
    </row>
    <row r="48" spans="1:2" ht="15.75" customHeight="1" x14ac:dyDescent="0.3">
      <c r="A48">
        <v>23</v>
      </c>
      <c r="B48" s="51">
        <v>2.6</v>
      </c>
    </row>
    <row r="49" spans="1:2" ht="15.75" customHeight="1" x14ac:dyDescent="0.3">
      <c r="A49">
        <v>23.5</v>
      </c>
      <c r="B49" s="51">
        <v>2.7</v>
      </c>
    </row>
    <row r="50" spans="1:2" ht="15.75" customHeight="1" x14ac:dyDescent="0.3">
      <c r="A50">
        <v>24</v>
      </c>
      <c r="B50" s="51">
        <v>2.7</v>
      </c>
    </row>
    <row r="51" spans="1:2" ht="15.75" customHeight="1" x14ac:dyDescent="0.3">
      <c r="A51">
        <v>24.5</v>
      </c>
      <c r="B51" s="51">
        <v>2.8</v>
      </c>
    </row>
    <row r="52" spans="1:2" ht="15.75" customHeight="1" x14ac:dyDescent="0.3">
      <c r="A52">
        <v>25</v>
      </c>
      <c r="B52" s="51">
        <v>2.8</v>
      </c>
    </row>
    <row r="53" spans="1:2" ht="15.75" customHeight="1" x14ac:dyDescent="0.3">
      <c r="A53">
        <v>25.5</v>
      </c>
      <c r="B53" s="51">
        <v>2.8</v>
      </c>
    </row>
    <row r="54" spans="1:2" ht="15.75" customHeight="1" x14ac:dyDescent="0.3">
      <c r="A54">
        <v>26</v>
      </c>
      <c r="B54" s="51">
        <v>2.9</v>
      </c>
    </row>
    <row r="55" spans="1:2" ht="15.75" customHeight="1" x14ac:dyDescent="0.3">
      <c r="A55">
        <v>26.5</v>
      </c>
      <c r="B55" s="51">
        <v>2.9</v>
      </c>
    </row>
    <row r="56" spans="1:2" ht="15.75" customHeight="1" x14ac:dyDescent="0.3">
      <c r="A56">
        <v>27</v>
      </c>
      <c r="B56" s="51">
        <v>2.9</v>
      </c>
    </row>
    <row r="57" spans="1:2" ht="15.75" customHeight="1" x14ac:dyDescent="0.3">
      <c r="A57">
        <v>27.5</v>
      </c>
      <c r="B57" s="51">
        <v>3</v>
      </c>
    </row>
    <row r="58" spans="1:2" ht="15.75" customHeight="1" x14ac:dyDescent="0.3">
      <c r="A58">
        <v>28</v>
      </c>
      <c r="B58" s="51">
        <v>3</v>
      </c>
    </row>
    <row r="59" spans="1:2" ht="15.75" customHeight="1" x14ac:dyDescent="0.3">
      <c r="A59">
        <v>28.5</v>
      </c>
      <c r="B59" s="51">
        <v>3</v>
      </c>
    </row>
    <row r="60" spans="1:2" ht="15.75" customHeight="1" x14ac:dyDescent="0.3">
      <c r="A60">
        <v>29</v>
      </c>
      <c r="B60" s="51">
        <v>3.1</v>
      </c>
    </row>
    <row r="61" spans="1:2" ht="15.75" customHeight="1" x14ac:dyDescent="0.3">
      <c r="A61">
        <v>29.5</v>
      </c>
      <c r="B61" s="51">
        <v>3.1</v>
      </c>
    </row>
    <row r="62" spans="1:2" ht="15.75" customHeight="1" x14ac:dyDescent="0.3">
      <c r="A62">
        <v>30</v>
      </c>
      <c r="B62" s="51">
        <v>3.1</v>
      </c>
    </row>
    <row r="63" spans="1:2" ht="15.75" customHeight="1" x14ac:dyDescent="0.3">
      <c r="A63">
        <v>30.5</v>
      </c>
      <c r="B63" s="51">
        <v>3.2</v>
      </c>
    </row>
    <row r="64" spans="1:2" ht="15.75" customHeight="1" x14ac:dyDescent="0.3">
      <c r="A64">
        <v>31</v>
      </c>
      <c r="B64" s="51">
        <v>3.2</v>
      </c>
    </row>
    <row r="65" spans="1:2" ht="15.75" customHeight="1" x14ac:dyDescent="0.3">
      <c r="A65">
        <v>31.5</v>
      </c>
      <c r="B65" s="51">
        <v>3.3</v>
      </c>
    </row>
    <row r="66" spans="1:2" ht="15.75" customHeight="1" x14ac:dyDescent="0.3">
      <c r="A66">
        <v>32</v>
      </c>
      <c r="B66" s="51">
        <v>3.3</v>
      </c>
    </row>
    <row r="67" spans="1:2" ht="15.75" customHeight="1" x14ac:dyDescent="0.3">
      <c r="A67">
        <v>32.5</v>
      </c>
      <c r="B67" s="51">
        <v>3.3</v>
      </c>
    </row>
    <row r="68" spans="1:2" ht="15.75" customHeight="1" x14ac:dyDescent="0.3">
      <c r="A68">
        <v>33</v>
      </c>
      <c r="B68" s="51">
        <v>3.4</v>
      </c>
    </row>
    <row r="69" spans="1:2" ht="15.75" customHeight="1" x14ac:dyDescent="0.3">
      <c r="A69">
        <v>33.5</v>
      </c>
      <c r="B69" s="51">
        <v>3.4</v>
      </c>
    </row>
    <row r="70" spans="1:2" ht="15.75" customHeight="1" x14ac:dyDescent="0.3">
      <c r="A70">
        <v>34</v>
      </c>
      <c r="B70" s="51">
        <v>3.4</v>
      </c>
    </row>
    <row r="71" spans="1:2" ht="15.75" customHeight="1" x14ac:dyDescent="0.3">
      <c r="A71">
        <v>34.5</v>
      </c>
      <c r="B71" s="51">
        <v>3.5</v>
      </c>
    </row>
    <row r="72" spans="1:2" ht="15.75" customHeight="1" x14ac:dyDescent="0.3">
      <c r="A72">
        <v>35</v>
      </c>
      <c r="B72" s="51">
        <v>3.5</v>
      </c>
    </row>
    <row r="73" spans="1:2" ht="15.75" customHeight="1" x14ac:dyDescent="0.3">
      <c r="A73">
        <v>35.5</v>
      </c>
      <c r="B73" s="51">
        <v>3.5</v>
      </c>
    </row>
    <row r="74" spans="1:2" ht="15.75" customHeight="1" x14ac:dyDescent="0.3">
      <c r="A74">
        <v>36</v>
      </c>
      <c r="B74" s="51">
        <v>3.6</v>
      </c>
    </row>
    <row r="75" spans="1:2" ht="15.75" customHeight="1" x14ac:dyDescent="0.3">
      <c r="A75">
        <v>36.5</v>
      </c>
      <c r="B75" s="51">
        <v>3.6</v>
      </c>
    </row>
    <row r="76" spans="1:2" ht="15.75" customHeight="1" x14ac:dyDescent="0.3">
      <c r="A76">
        <v>37</v>
      </c>
      <c r="B76" s="51">
        <v>3.6</v>
      </c>
    </row>
    <row r="77" spans="1:2" ht="15.75" customHeight="1" x14ac:dyDescent="0.3">
      <c r="A77">
        <v>37.5</v>
      </c>
      <c r="B77" s="51">
        <v>3.7</v>
      </c>
    </row>
    <row r="78" spans="1:2" ht="15.75" customHeight="1" x14ac:dyDescent="0.3">
      <c r="A78">
        <v>38</v>
      </c>
      <c r="B78" s="51">
        <v>3.7</v>
      </c>
    </row>
    <row r="79" spans="1:2" ht="15.75" customHeight="1" x14ac:dyDescent="0.3">
      <c r="A79">
        <v>38.5</v>
      </c>
      <c r="B79" s="51">
        <v>3.8</v>
      </c>
    </row>
    <row r="80" spans="1:2" ht="15.75" customHeight="1" x14ac:dyDescent="0.3">
      <c r="A80">
        <v>39</v>
      </c>
      <c r="B80" s="51">
        <v>3.8</v>
      </c>
    </row>
    <row r="81" spans="1:2" ht="15.75" customHeight="1" x14ac:dyDescent="0.3">
      <c r="A81">
        <v>39.5</v>
      </c>
      <c r="B81" s="51">
        <v>3.8</v>
      </c>
    </row>
    <row r="82" spans="1:2" ht="15.75" customHeight="1" x14ac:dyDescent="0.3">
      <c r="A82">
        <v>40</v>
      </c>
      <c r="B82" s="51">
        <v>3.9</v>
      </c>
    </row>
    <row r="83" spans="1:2" ht="15.75" customHeight="1" x14ac:dyDescent="0.3">
      <c r="A83">
        <v>40.5</v>
      </c>
      <c r="B83" s="51">
        <v>3.9</v>
      </c>
    </row>
    <row r="84" spans="1:2" ht="15.75" customHeight="1" x14ac:dyDescent="0.3">
      <c r="A84">
        <v>41</v>
      </c>
      <c r="B84" s="51">
        <v>3.9</v>
      </c>
    </row>
    <row r="85" spans="1:2" ht="15.75" customHeight="1" x14ac:dyDescent="0.3">
      <c r="A85">
        <v>41.5</v>
      </c>
      <c r="B85" s="51">
        <v>4</v>
      </c>
    </row>
    <row r="86" spans="1:2" ht="15.75" customHeight="1" x14ac:dyDescent="0.3">
      <c r="A86">
        <v>42</v>
      </c>
      <c r="B86" s="51">
        <v>4</v>
      </c>
    </row>
    <row r="87" spans="1:2" ht="15.75" customHeight="1" x14ac:dyDescent="0.3">
      <c r="A87">
        <v>42.5</v>
      </c>
      <c r="B87" s="51">
        <v>4.0999999999999996</v>
      </c>
    </row>
    <row r="88" spans="1:2" ht="15.75" customHeight="1" x14ac:dyDescent="0.3">
      <c r="A88">
        <v>43</v>
      </c>
      <c r="B88" s="51">
        <v>4.0999999999999996</v>
      </c>
    </row>
    <row r="89" spans="1:2" ht="15.75" customHeight="1" x14ac:dyDescent="0.3">
      <c r="A89">
        <v>43.5</v>
      </c>
      <c r="B89" s="51">
        <v>4.2</v>
      </c>
    </row>
    <row r="90" spans="1:2" ht="15.75" customHeight="1" x14ac:dyDescent="0.3">
      <c r="A90">
        <v>44</v>
      </c>
      <c r="B90" s="51">
        <v>4.2</v>
      </c>
    </row>
    <row r="91" spans="1:2" ht="15.75" customHeight="1" x14ac:dyDescent="0.3">
      <c r="A91">
        <v>44.5</v>
      </c>
      <c r="B91" s="51">
        <v>4.3</v>
      </c>
    </row>
    <row r="92" spans="1:2" ht="15.75" customHeight="1" x14ac:dyDescent="0.3">
      <c r="A92">
        <v>45</v>
      </c>
      <c r="B92" s="51">
        <v>4.3</v>
      </c>
    </row>
    <row r="93" spans="1:2" ht="15.75" customHeight="1" x14ac:dyDescent="0.3">
      <c r="A93">
        <v>45.5</v>
      </c>
      <c r="B93" s="51">
        <v>4.4000000000000004</v>
      </c>
    </row>
    <row r="94" spans="1:2" ht="15.75" customHeight="1" x14ac:dyDescent="0.3">
      <c r="A94">
        <v>46</v>
      </c>
      <c r="B94" s="51">
        <v>4.4000000000000004</v>
      </c>
    </row>
    <row r="95" spans="1:2" ht="15.75" customHeight="1" x14ac:dyDescent="0.3">
      <c r="A95">
        <v>46.5</v>
      </c>
      <c r="B95" s="51">
        <v>4.5</v>
      </c>
    </row>
    <row r="96" spans="1:2" ht="15.75" customHeight="1" x14ac:dyDescent="0.3">
      <c r="A96">
        <v>47</v>
      </c>
      <c r="B96" s="51">
        <v>4.5</v>
      </c>
    </row>
    <row r="97" spans="1:2" ht="15.75" customHeight="1" x14ac:dyDescent="0.3">
      <c r="A97">
        <v>47.5</v>
      </c>
      <c r="B97" s="51">
        <v>4.5999999999999996</v>
      </c>
    </row>
    <row r="98" spans="1:2" ht="15.75" customHeight="1" x14ac:dyDescent="0.3">
      <c r="A98">
        <v>48</v>
      </c>
      <c r="B98" s="51">
        <v>4.5999999999999996</v>
      </c>
    </row>
    <row r="99" spans="1:2" ht="15.75" customHeight="1" x14ac:dyDescent="0.3">
      <c r="A99">
        <v>48.5</v>
      </c>
      <c r="B99" s="51">
        <v>4.7</v>
      </c>
    </row>
    <row r="100" spans="1:2" ht="15.75" customHeight="1" x14ac:dyDescent="0.3">
      <c r="A100">
        <v>49</v>
      </c>
      <c r="B100" s="51">
        <v>4.8</v>
      </c>
    </row>
    <row r="101" spans="1:2" ht="15.75" customHeight="1" x14ac:dyDescent="0.3">
      <c r="A101">
        <v>49.5</v>
      </c>
      <c r="B101" s="51">
        <v>4.8</v>
      </c>
    </row>
    <row r="102" spans="1:2" ht="15.75" customHeight="1" x14ac:dyDescent="0.3">
      <c r="A102">
        <v>50</v>
      </c>
      <c r="B102" s="51">
        <v>4.9000000000000004</v>
      </c>
    </row>
    <row r="103" spans="1:2" ht="15.75" customHeight="1" x14ac:dyDescent="0.3">
      <c r="A103">
        <v>50.5</v>
      </c>
      <c r="B103" s="51">
        <v>4.9000000000000004</v>
      </c>
    </row>
    <row r="104" spans="1:2" ht="15.75" customHeight="1" x14ac:dyDescent="0.3">
      <c r="A104">
        <v>51</v>
      </c>
      <c r="B104" s="51">
        <v>5</v>
      </c>
    </row>
    <row r="105" spans="1:2" ht="15.75" customHeight="1" x14ac:dyDescent="0.3">
      <c r="A105">
        <v>51.5</v>
      </c>
      <c r="B105" s="51">
        <v>5</v>
      </c>
    </row>
    <row r="106" spans="1:2" ht="15.75" customHeight="1" x14ac:dyDescent="0.3">
      <c r="A106">
        <v>52</v>
      </c>
      <c r="B106" s="51">
        <v>5.0999999999999996</v>
      </c>
    </row>
    <row r="107" spans="1:2" ht="15.75" customHeight="1" x14ac:dyDescent="0.3">
      <c r="A107">
        <v>52.5</v>
      </c>
      <c r="B107" s="51">
        <v>5.0999999999999996</v>
      </c>
    </row>
    <row r="108" spans="1:2" ht="15.75" customHeight="1" x14ac:dyDescent="0.3">
      <c r="A108">
        <v>53</v>
      </c>
      <c r="B108" s="51">
        <v>5.2</v>
      </c>
    </row>
    <row r="109" spans="1:2" ht="15.75" customHeight="1" x14ac:dyDescent="0.3">
      <c r="A109">
        <v>53.5</v>
      </c>
      <c r="B109" s="51">
        <v>5.2</v>
      </c>
    </row>
    <row r="110" spans="1:2" ht="15.75" customHeight="1" x14ac:dyDescent="0.3">
      <c r="A110">
        <v>54</v>
      </c>
      <c r="B110" s="51">
        <v>5.3</v>
      </c>
    </row>
    <row r="111" spans="1:2" ht="15.75" customHeight="1" x14ac:dyDescent="0.3">
      <c r="A111">
        <v>54.5</v>
      </c>
      <c r="B111" s="51">
        <v>5.3</v>
      </c>
    </row>
    <row r="112" spans="1:2" ht="15.75" customHeight="1" x14ac:dyDescent="0.3">
      <c r="A112">
        <v>55</v>
      </c>
      <c r="B112" s="51">
        <v>5.4</v>
      </c>
    </row>
    <row r="113" spans="1:2" ht="15.75" customHeight="1" x14ac:dyDescent="0.3">
      <c r="A113">
        <v>55.5</v>
      </c>
      <c r="B113" s="51">
        <v>5.4</v>
      </c>
    </row>
    <row r="114" spans="1:2" ht="15.75" customHeight="1" x14ac:dyDescent="0.3">
      <c r="A114">
        <v>56</v>
      </c>
      <c r="B114" s="51">
        <v>5.5</v>
      </c>
    </row>
    <row r="115" spans="1:2" ht="15.75" customHeight="1" x14ac:dyDescent="0.3">
      <c r="A115">
        <v>56.5</v>
      </c>
      <c r="B115" s="51">
        <v>5.6</v>
      </c>
    </row>
    <row r="116" spans="1:2" ht="15.75" customHeight="1" x14ac:dyDescent="0.3">
      <c r="A116">
        <v>57</v>
      </c>
      <c r="B116" s="51">
        <v>5.6</v>
      </c>
    </row>
    <row r="117" spans="1:2" ht="15.75" customHeight="1" x14ac:dyDescent="0.3">
      <c r="A117">
        <v>57.5</v>
      </c>
      <c r="B117" s="51">
        <v>5.7</v>
      </c>
    </row>
    <row r="118" spans="1:2" ht="15.75" customHeight="1" x14ac:dyDescent="0.3">
      <c r="A118">
        <v>58</v>
      </c>
      <c r="B118" s="51">
        <v>5.7</v>
      </c>
    </row>
    <row r="119" spans="1:2" ht="15.75" customHeight="1" x14ac:dyDescent="0.3">
      <c r="A119">
        <v>58.5</v>
      </c>
      <c r="B119" s="51">
        <v>5.8</v>
      </c>
    </row>
    <row r="120" spans="1:2" ht="15.75" customHeight="1" x14ac:dyDescent="0.3">
      <c r="A120">
        <v>59</v>
      </c>
      <c r="B120" s="51">
        <v>5.8</v>
      </c>
    </row>
    <row r="121" spans="1:2" ht="15.75" customHeight="1" x14ac:dyDescent="0.3">
      <c r="A121">
        <v>59.5</v>
      </c>
      <c r="B121" s="51">
        <v>5.9</v>
      </c>
    </row>
    <row r="122" spans="1:2" ht="15.75" customHeight="1" x14ac:dyDescent="0.3">
      <c r="A122">
        <v>60</v>
      </c>
      <c r="B122" s="51">
        <v>5.9</v>
      </c>
    </row>
    <row r="123" spans="1:2" ht="15.75" customHeight="1" x14ac:dyDescent="0.3">
      <c r="A123">
        <v>60.5</v>
      </c>
      <c r="B123" s="51">
        <v>6</v>
      </c>
    </row>
    <row r="124" spans="1:2" ht="15.75" customHeight="1" x14ac:dyDescent="0.3">
      <c r="A124">
        <v>61</v>
      </c>
      <c r="B124" s="51">
        <v>6</v>
      </c>
    </row>
    <row r="125" spans="1:2" ht="15.75" customHeight="1" x14ac:dyDescent="0.3">
      <c r="A125">
        <v>61.5</v>
      </c>
      <c r="B125" s="51">
        <v>6.1</v>
      </c>
    </row>
    <row r="126" spans="1:2" ht="15.75" customHeight="1" x14ac:dyDescent="0.3">
      <c r="A126">
        <v>62</v>
      </c>
      <c r="B126" s="51">
        <v>6.1</v>
      </c>
    </row>
    <row r="127" spans="1:2" ht="15.75" customHeight="1" x14ac:dyDescent="0.3">
      <c r="A127">
        <v>62.5</v>
      </c>
      <c r="B127" s="51">
        <v>6.2</v>
      </c>
    </row>
    <row r="128" spans="1:2" ht="15.75" customHeight="1" x14ac:dyDescent="0.3">
      <c r="A128">
        <v>63</v>
      </c>
      <c r="B128" s="51">
        <v>6.3</v>
      </c>
    </row>
    <row r="129" spans="1:2" ht="15.75" customHeight="1" x14ac:dyDescent="0.3">
      <c r="A129">
        <v>63.5</v>
      </c>
      <c r="B129" s="51">
        <v>6.3</v>
      </c>
    </row>
    <row r="130" spans="1:2" ht="15.75" customHeight="1" x14ac:dyDescent="0.3">
      <c r="A130">
        <v>64</v>
      </c>
      <c r="B130" s="51">
        <v>6.4</v>
      </c>
    </row>
    <row r="131" spans="1:2" ht="15.75" customHeight="1" x14ac:dyDescent="0.3">
      <c r="A131">
        <v>64.5</v>
      </c>
      <c r="B131" s="51">
        <v>6.4</v>
      </c>
    </row>
    <row r="132" spans="1:2" ht="15.75" customHeight="1" x14ac:dyDescent="0.3">
      <c r="A132">
        <v>65</v>
      </c>
      <c r="B132" s="51">
        <v>6.5</v>
      </c>
    </row>
    <row r="133" spans="1:2" ht="15.75" customHeight="1" x14ac:dyDescent="0.3">
      <c r="A133">
        <v>65.5</v>
      </c>
      <c r="B133" s="51">
        <v>6.5</v>
      </c>
    </row>
    <row r="134" spans="1:2" ht="15.75" customHeight="1" x14ac:dyDescent="0.3">
      <c r="A134">
        <v>66</v>
      </c>
      <c r="B134" s="51">
        <v>6.6</v>
      </c>
    </row>
    <row r="135" spans="1:2" ht="15.75" customHeight="1" x14ac:dyDescent="0.3">
      <c r="A135">
        <v>66.5</v>
      </c>
      <c r="B135" s="51">
        <v>6.6</v>
      </c>
    </row>
    <row r="136" spans="1:2" ht="15.75" customHeight="1" x14ac:dyDescent="0.3">
      <c r="A136">
        <v>67</v>
      </c>
      <c r="B136" s="51">
        <v>6.7</v>
      </c>
    </row>
    <row r="137" spans="1:2" ht="15.75" customHeight="1" x14ac:dyDescent="0.3">
      <c r="A137">
        <v>67.5</v>
      </c>
      <c r="B137" s="51">
        <v>6.7</v>
      </c>
    </row>
    <row r="138" spans="1:2" ht="15.75" customHeight="1" x14ac:dyDescent="0.3">
      <c r="A138">
        <v>68</v>
      </c>
      <c r="B138" s="51">
        <v>6.8</v>
      </c>
    </row>
    <row r="139" spans="1:2" ht="15.75" customHeight="1" x14ac:dyDescent="0.3">
      <c r="A139">
        <v>68.5</v>
      </c>
      <c r="B139" s="51">
        <v>6.8</v>
      </c>
    </row>
    <row r="140" spans="1:2" ht="15.75" customHeight="1" x14ac:dyDescent="0.3">
      <c r="A140">
        <v>69</v>
      </c>
      <c r="B140" s="51">
        <v>6.9</v>
      </c>
    </row>
    <row r="141" spans="1:2" ht="15.75" customHeight="1" x14ac:dyDescent="0.3">
      <c r="A141">
        <v>69.5</v>
      </c>
      <c r="B141" s="51">
        <v>6.9</v>
      </c>
    </row>
    <row r="142" spans="1:2" ht="15.75" customHeight="1" x14ac:dyDescent="0.3">
      <c r="A142">
        <v>70</v>
      </c>
      <c r="B142" s="51">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1">
        <v>1</v>
      </c>
    </row>
    <row r="3" spans="1:2" ht="14.4" x14ac:dyDescent="0.3">
      <c r="A3">
        <v>0.5</v>
      </c>
      <c r="B3" s="51">
        <v>1.1000000000000001</v>
      </c>
    </row>
    <row r="4" spans="1:2" ht="14.4" x14ac:dyDescent="0.3">
      <c r="A4">
        <v>1</v>
      </c>
      <c r="B4" s="51">
        <v>1.2</v>
      </c>
    </row>
    <row r="5" spans="1:2" ht="14.4" x14ac:dyDescent="0.3">
      <c r="A5">
        <v>1.5</v>
      </c>
      <c r="B5" s="51">
        <v>1.3</v>
      </c>
    </row>
    <row r="6" spans="1:2" ht="14.4" x14ac:dyDescent="0.3">
      <c r="A6">
        <v>2</v>
      </c>
      <c r="B6" s="51">
        <v>1.3</v>
      </c>
    </row>
    <row r="7" spans="1:2" ht="14.4" x14ac:dyDescent="0.3">
      <c r="A7">
        <v>2.5</v>
      </c>
      <c r="B7" s="51">
        <v>1.4</v>
      </c>
    </row>
    <row r="8" spans="1:2" ht="14.4" x14ac:dyDescent="0.3">
      <c r="A8">
        <v>3</v>
      </c>
      <c r="B8" s="51">
        <v>1.5</v>
      </c>
    </row>
    <row r="9" spans="1:2" ht="14.4" x14ac:dyDescent="0.3">
      <c r="A9">
        <v>3.5</v>
      </c>
      <c r="B9" s="51">
        <v>1.6</v>
      </c>
    </row>
    <row r="10" spans="1:2" ht="14.4" x14ac:dyDescent="0.3">
      <c r="A10">
        <v>4</v>
      </c>
      <c r="B10" s="51">
        <v>1.7</v>
      </c>
    </row>
    <row r="11" spans="1:2" ht="14.4" x14ac:dyDescent="0.3">
      <c r="A11">
        <v>4.5</v>
      </c>
      <c r="B11" s="51">
        <v>1.8</v>
      </c>
    </row>
    <row r="12" spans="1:2" ht="14.4" x14ac:dyDescent="0.3">
      <c r="A12">
        <v>5</v>
      </c>
      <c r="B12" s="51">
        <v>1.8</v>
      </c>
    </row>
    <row r="13" spans="1:2" ht="14.4" x14ac:dyDescent="0.3">
      <c r="A13">
        <v>5.5</v>
      </c>
      <c r="B13" s="51">
        <v>1.9</v>
      </c>
    </row>
    <row r="14" spans="1:2" ht="14.4" x14ac:dyDescent="0.3">
      <c r="A14">
        <v>6</v>
      </c>
      <c r="B14" s="51">
        <v>2</v>
      </c>
    </row>
    <row r="15" spans="1:2" ht="14.4" x14ac:dyDescent="0.3">
      <c r="A15">
        <v>6.5</v>
      </c>
      <c r="B15" s="51">
        <v>2.1</v>
      </c>
    </row>
    <row r="16" spans="1:2" ht="14.4" x14ac:dyDescent="0.3">
      <c r="A16">
        <v>7</v>
      </c>
      <c r="B16" s="51">
        <v>2.2000000000000002</v>
      </c>
    </row>
    <row r="17" spans="1:2" ht="14.4" x14ac:dyDescent="0.3">
      <c r="A17">
        <v>7.5</v>
      </c>
      <c r="B17" s="51">
        <v>2.2999999999999998</v>
      </c>
    </row>
    <row r="18" spans="1:2" ht="14.4" x14ac:dyDescent="0.3">
      <c r="A18">
        <v>8</v>
      </c>
      <c r="B18" s="51">
        <v>2.2999999999999998</v>
      </c>
    </row>
    <row r="19" spans="1:2" ht="14.4" x14ac:dyDescent="0.3">
      <c r="A19">
        <v>8.5</v>
      </c>
      <c r="B19" s="51">
        <v>2.4</v>
      </c>
    </row>
    <row r="20" spans="1:2" ht="14.4" x14ac:dyDescent="0.3">
      <c r="A20">
        <v>9</v>
      </c>
      <c r="B20" s="51">
        <v>2.5</v>
      </c>
    </row>
    <row r="21" spans="1:2" ht="15.75" customHeight="1" x14ac:dyDescent="0.3">
      <c r="A21">
        <v>9.5</v>
      </c>
      <c r="B21" s="51">
        <v>2.6</v>
      </c>
    </row>
    <row r="22" spans="1:2" ht="15.75" customHeight="1" x14ac:dyDescent="0.3">
      <c r="A22">
        <v>10</v>
      </c>
      <c r="B22" s="51">
        <v>2.7</v>
      </c>
    </row>
    <row r="23" spans="1:2" ht="15.75" customHeight="1" x14ac:dyDescent="0.3">
      <c r="A23">
        <v>10.5</v>
      </c>
      <c r="B23" s="51">
        <v>2.8</v>
      </c>
    </row>
    <row r="24" spans="1:2" ht="15.75" customHeight="1" x14ac:dyDescent="0.3">
      <c r="A24">
        <v>11</v>
      </c>
      <c r="B24" s="51">
        <v>2.8</v>
      </c>
    </row>
    <row r="25" spans="1:2" ht="15.75" customHeight="1" x14ac:dyDescent="0.3">
      <c r="A25">
        <v>11.5</v>
      </c>
      <c r="B25" s="51">
        <v>2.9</v>
      </c>
    </row>
    <row r="26" spans="1:2" ht="15.75" customHeight="1" x14ac:dyDescent="0.3">
      <c r="A26">
        <v>12</v>
      </c>
      <c r="B26" s="51">
        <v>3</v>
      </c>
    </row>
    <row r="27" spans="1:2" ht="15.75" customHeight="1" x14ac:dyDescent="0.3">
      <c r="A27">
        <v>12.5</v>
      </c>
      <c r="B27" s="51">
        <v>3.1</v>
      </c>
    </row>
    <row r="28" spans="1:2" ht="15.75" customHeight="1" x14ac:dyDescent="0.3">
      <c r="A28">
        <v>13</v>
      </c>
      <c r="B28" s="51">
        <v>3.2</v>
      </c>
    </row>
    <row r="29" spans="1:2" ht="15.75" customHeight="1" x14ac:dyDescent="0.3">
      <c r="A29">
        <v>13.5</v>
      </c>
      <c r="B29" s="51">
        <v>3.3</v>
      </c>
    </row>
    <row r="30" spans="1:2" ht="15.75" customHeight="1" x14ac:dyDescent="0.3">
      <c r="A30">
        <v>14</v>
      </c>
      <c r="B30" s="51">
        <v>3.3</v>
      </c>
    </row>
    <row r="31" spans="1:2" ht="15.75" customHeight="1" x14ac:dyDescent="0.3">
      <c r="A31">
        <v>14.5</v>
      </c>
      <c r="B31" s="51">
        <v>3.4</v>
      </c>
    </row>
    <row r="32" spans="1:2" ht="15.75" customHeight="1" x14ac:dyDescent="0.3">
      <c r="A32">
        <v>15</v>
      </c>
      <c r="B32" s="51">
        <v>3.5</v>
      </c>
    </row>
    <row r="33" spans="1:2" ht="15.75" customHeight="1" x14ac:dyDescent="0.3">
      <c r="A33">
        <v>15.5</v>
      </c>
      <c r="B33" s="51">
        <v>3.6</v>
      </c>
    </row>
    <row r="34" spans="1:2" ht="15.75" customHeight="1" x14ac:dyDescent="0.3">
      <c r="A34">
        <v>16</v>
      </c>
      <c r="B34" s="51">
        <v>3.7</v>
      </c>
    </row>
    <row r="35" spans="1:2" ht="15.75" customHeight="1" x14ac:dyDescent="0.3">
      <c r="A35">
        <v>16.5</v>
      </c>
      <c r="B35" s="51">
        <v>3.8</v>
      </c>
    </row>
    <row r="36" spans="1:2" ht="15.75" customHeight="1" x14ac:dyDescent="0.3">
      <c r="A36">
        <v>17</v>
      </c>
      <c r="B36" s="51">
        <v>3.8</v>
      </c>
    </row>
    <row r="37" spans="1:2" ht="15.75" customHeight="1" x14ac:dyDescent="0.3">
      <c r="A37">
        <v>17.5</v>
      </c>
      <c r="B37" s="51">
        <v>3.9</v>
      </c>
    </row>
    <row r="38" spans="1:2" ht="15.75" customHeight="1" x14ac:dyDescent="0.3">
      <c r="A38">
        <v>18</v>
      </c>
      <c r="B38" s="51">
        <v>4</v>
      </c>
    </row>
    <row r="39" spans="1:2" ht="15.75" customHeight="1" x14ac:dyDescent="0.3">
      <c r="A39">
        <v>18.5</v>
      </c>
      <c r="B39" s="51">
        <v>4.0999999999999996</v>
      </c>
    </row>
    <row r="40" spans="1:2" ht="15.75" customHeight="1" x14ac:dyDescent="0.3">
      <c r="A40">
        <v>19</v>
      </c>
      <c r="B40" s="51">
        <v>4.3</v>
      </c>
    </row>
    <row r="41" spans="1:2" ht="15.75" customHeight="1" x14ac:dyDescent="0.3">
      <c r="A41">
        <v>19.5</v>
      </c>
      <c r="B41" s="51">
        <v>4.4000000000000004</v>
      </c>
    </row>
    <row r="42" spans="1:2" ht="15.75" customHeight="1" x14ac:dyDescent="0.3">
      <c r="A42">
        <v>20</v>
      </c>
      <c r="B42" s="51">
        <v>4.5</v>
      </c>
    </row>
    <row r="43" spans="1:2" ht="15.75" customHeight="1" x14ac:dyDescent="0.3">
      <c r="A43">
        <v>20.5</v>
      </c>
      <c r="B43" s="51">
        <v>4.5999999999999996</v>
      </c>
    </row>
    <row r="44" spans="1:2" ht="15.75" customHeight="1" x14ac:dyDescent="0.3">
      <c r="A44">
        <v>21</v>
      </c>
      <c r="B44" s="51">
        <v>4.8</v>
      </c>
    </row>
    <row r="45" spans="1:2" ht="15.75" customHeight="1" x14ac:dyDescent="0.3">
      <c r="A45">
        <v>21.5</v>
      </c>
      <c r="B45" s="51">
        <v>4.9000000000000004</v>
      </c>
    </row>
    <row r="46" spans="1:2" ht="15.75" customHeight="1" x14ac:dyDescent="0.3">
      <c r="A46">
        <v>22</v>
      </c>
      <c r="B46" s="51">
        <v>5</v>
      </c>
    </row>
    <row r="47" spans="1:2" ht="15.75" customHeight="1" x14ac:dyDescent="0.3">
      <c r="A47">
        <v>22.5</v>
      </c>
      <c r="B47" s="51">
        <v>5.0999999999999996</v>
      </c>
    </row>
    <row r="48" spans="1:2" ht="15.75" customHeight="1" x14ac:dyDescent="0.3">
      <c r="A48">
        <v>23</v>
      </c>
      <c r="B48" s="51">
        <v>5.3</v>
      </c>
    </row>
    <row r="49" spans="1:2" ht="15.75" customHeight="1" x14ac:dyDescent="0.3">
      <c r="A49">
        <v>23.5</v>
      </c>
      <c r="B49" s="51">
        <v>5.4</v>
      </c>
    </row>
    <row r="50" spans="1:2" ht="15.75" customHeight="1" x14ac:dyDescent="0.3">
      <c r="A50">
        <v>24</v>
      </c>
      <c r="B50" s="51">
        <v>5.5</v>
      </c>
    </row>
    <row r="51" spans="1:2" ht="15.75" customHeight="1" x14ac:dyDescent="0.3">
      <c r="A51">
        <v>24.5</v>
      </c>
      <c r="B51" s="51">
        <v>5.6</v>
      </c>
    </row>
    <row r="52" spans="1:2" ht="15.75" customHeight="1" x14ac:dyDescent="0.3">
      <c r="A52">
        <v>25</v>
      </c>
      <c r="B52" s="51">
        <v>5.8</v>
      </c>
    </row>
    <row r="53" spans="1:2" ht="15.75" customHeight="1" x14ac:dyDescent="0.3">
      <c r="A53">
        <v>25.5</v>
      </c>
      <c r="B53" s="51">
        <v>5.9</v>
      </c>
    </row>
    <row r="54" spans="1:2" ht="15.75" customHeight="1" x14ac:dyDescent="0.3">
      <c r="A54">
        <v>26</v>
      </c>
      <c r="B54" s="51">
        <v>6</v>
      </c>
    </row>
    <row r="55" spans="1:2" ht="15.75" customHeight="1" x14ac:dyDescent="0.3">
      <c r="A55">
        <v>26.5</v>
      </c>
      <c r="B55" s="51">
        <v>6.1</v>
      </c>
    </row>
    <row r="56" spans="1:2" ht="15.75" customHeight="1" x14ac:dyDescent="0.3">
      <c r="A56">
        <v>27</v>
      </c>
      <c r="B56" s="51">
        <v>6.3</v>
      </c>
    </row>
    <row r="57" spans="1:2" ht="15.75" customHeight="1" x14ac:dyDescent="0.3">
      <c r="A57">
        <v>27.5</v>
      </c>
      <c r="B57" s="51">
        <v>6.4</v>
      </c>
    </row>
    <row r="58" spans="1:2" ht="15.75" customHeight="1" x14ac:dyDescent="0.3">
      <c r="A58">
        <v>28</v>
      </c>
      <c r="B58" s="51">
        <v>6.5</v>
      </c>
    </row>
    <row r="59" spans="1:2" ht="15.75" customHeight="1" x14ac:dyDescent="0.3">
      <c r="A59">
        <v>28.5</v>
      </c>
      <c r="B59" s="51">
        <v>6.6</v>
      </c>
    </row>
    <row r="60" spans="1:2" ht="15.75" customHeight="1" x14ac:dyDescent="0.3">
      <c r="A60">
        <v>29</v>
      </c>
      <c r="B60" s="51">
        <v>6.8</v>
      </c>
    </row>
    <row r="61" spans="1:2" ht="15.75" customHeight="1" x14ac:dyDescent="0.3">
      <c r="A61">
        <v>29.5</v>
      </c>
      <c r="B61" s="51">
        <v>6.9</v>
      </c>
    </row>
    <row r="62" spans="1:2" ht="15.75" customHeight="1" x14ac:dyDescent="0.3">
      <c r="A62">
        <v>30</v>
      </c>
      <c r="B62" s="51">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1"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mabel herrera pino</cp:lastModifiedBy>
  <dcterms:created xsi:type="dcterms:W3CDTF">2023-08-07T04:08:01Z</dcterms:created>
  <dcterms:modified xsi:type="dcterms:W3CDTF">2026-04-27T13:45:04Z</dcterms:modified>
</cp:coreProperties>
</file>